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обучение\zerocoder\freelanc-claude\01calc-alex\"/>
    </mc:Choice>
  </mc:AlternateContent>
  <xr:revisionPtr revIDLastSave="0" documentId="13_ncr:1_{68ADC89E-073E-4AB8-B2B9-C6AF3A1F4DC0}" xr6:coauthVersionLast="36" xr6:coauthVersionMax="36" xr10:uidLastSave="{00000000-0000-0000-0000-000000000000}"/>
  <bookViews>
    <workbookView xWindow="0" yWindow="0" windowWidth="28800" windowHeight="11265" xr2:uid="{00000000-000D-0000-FFFF-FFFF00000000}"/>
  </bookViews>
  <sheets>
    <sheet name="Devis" sheetId="1" r:id="rId1"/>
    <sheet name="pièces" sheetId="4" r:id="rId2"/>
    <sheet name="Unités" sheetId="2" r:id="rId3"/>
    <sheet name="Description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F24" i="1" l="1"/>
  <c r="F25" i="1" s="1"/>
</calcChain>
</file>

<file path=xl/sharedStrings.xml><?xml version="1.0" encoding="utf-8"?>
<sst xmlns="http://schemas.openxmlformats.org/spreadsheetml/2006/main" count="210" uniqueCount="140">
  <si>
    <t>DESCRIPTION</t>
  </si>
  <si>
    <t>UNITE</t>
  </si>
  <si>
    <t>PU HT</t>
  </si>
  <si>
    <t>TOTAL HT</t>
  </si>
  <si>
    <t>NOM</t>
  </si>
  <si>
    <t>AD</t>
  </si>
  <si>
    <t>CP VILLE</t>
  </si>
  <si>
    <t xml:space="preserve">A l’attention de: </t>
  </si>
  <si>
    <t xml:space="preserve">Adresse du chantier: </t>
  </si>
  <si>
    <t>ML</t>
  </si>
  <si>
    <t>M2</t>
  </si>
  <si>
    <t>U</t>
  </si>
  <si>
    <t xml:space="preserve">Entrée / couloir </t>
  </si>
  <si>
    <t xml:space="preserve">Fourniture et pose parquet stratifié / sous-couche inclus </t>
  </si>
  <si>
    <t xml:space="preserve">Cuisine </t>
  </si>
  <si>
    <t xml:space="preserve">Fourniture et pose carrelage / colle et joint inclus </t>
  </si>
  <si>
    <t xml:space="preserve">Fourniture et pose barre de seuil </t>
  </si>
  <si>
    <t xml:space="preserve">Chambre 1 </t>
  </si>
  <si>
    <t xml:space="preserve">Fourniture et pose faïence / colle et joint inclus </t>
  </si>
  <si>
    <t xml:space="preserve">Chambre 2 </t>
  </si>
  <si>
    <t xml:space="preserve">Fourniture et pose parquet stratifié / sous-couche inclus Fourniture et pose d’une porte isoplane 73 </t>
  </si>
  <si>
    <t xml:space="preserve">Chambre 3 </t>
  </si>
  <si>
    <t xml:space="preserve">Buanderie </t>
  </si>
  <si>
    <t xml:space="preserve">Salon </t>
  </si>
  <si>
    <t xml:space="preserve">Fourniture et pose porte isoplane double (à déterminer) </t>
  </si>
  <si>
    <t>PIECE</t>
  </si>
  <si>
    <t xml:space="preserve">Paiement du solde à la livraison. </t>
  </si>
  <si>
    <t xml:space="preserve">Conditions de règlement : </t>
  </si>
  <si>
    <t>Cave</t>
  </si>
  <si>
    <t>Garage</t>
  </si>
  <si>
    <t>WC 1</t>
  </si>
  <si>
    <t>WC 2</t>
  </si>
  <si>
    <t>Entrée</t>
  </si>
  <si>
    <t>Salle à manger</t>
  </si>
  <si>
    <t>Terrasse</t>
  </si>
  <si>
    <t>Cellier</t>
  </si>
  <si>
    <t>Forfait Matériel</t>
  </si>
  <si>
    <t>TOTAL TVA</t>
  </si>
  <si>
    <t>ACOMPTE 30%</t>
  </si>
  <si>
    <t xml:space="preserve">TVA non applicable - art. 293B du CGI </t>
  </si>
  <si>
    <t>TOTAL TTC</t>
  </si>
  <si>
    <t xml:space="preserve">Le client, date et signature précédées de la mention « Bon pour accord » : </t>
  </si>
  <si>
    <t>QT</t>
  </si>
  <si>
    <t>Chambre 4</t>
  </si>
  <si>
    <t>Chambre 5</t>
  </si>
  <si>
    <t>Chambre 6</t>
  </si>
  <si>
    <t>Chambre 7</t>
  </si>
  <si>
    <t>Chambre 8</t>
  </si>
  <si>
    <t>Chambre 9</t>
  </si>
  <si>
    <t>Chambre 10</t>
  </si>
  <si>
    <t>Couloir 1</t>
  </si>
  <si>
    <t>Couloir 2</t>
  </si>
  <si>
    <t>Couloir 3</t>
  </si>
  <si>
    <t>Couloir 4</t>
  </si>
  <si>
    <t>Salle d'eau 1</t>
  </si>
  <si>
    <t>Salle d'eau 2</t>
  </si>
  <si>
    <t>Salle de bain 1</t>
  </si>
  <si>
    <t>Salle de bain 2</t>
  </si>
  <si>
    <t>Forfait Main d'œuvre</t>
  </si>
  <si>
    <t>DEVIS n°</t>
  </si>
  <si>
    <t>Taux de pénalité : en cas de retard de paiement, application d'intérêts de 3 fois le taux légal selon la loi n°2008-776 du 4 août 2008.  du devis.</t>
  </si>
  <si>
    <t>Taux d'escompte : pas d'escompte pour paiement anticipé.</t>
  </si>
  <si>
    <t>Acompte de 30% du montant total TTC à verser à l’acceptation du devis.</t>
  </si>
  <si>
    <t>Paiement à la réception de situations mensuelles selon avancement des travaux.</t>
  </si>
  <si>
    <t xml:space="preserve">Modalités de règlement : </t>
  </si>
  <si>
    <t xml:space="preserve">Assurance décennale n°TEST000000/00000 souscrite auprès de TEST Assurance - 1 rue des Tests 44000 Nantes </t>
  </si>
  <si>
    <t xml:space="preserve">Date : </t>
  </si>
  <si>
    <t xml:space="preserve">1 mois </t>
  </si>
  <si>
    <t xml:space="preserve">validité : </t>
  </si>
  <si>
    <t>SOLDE</t>
  </si>
  <si>
    <t>FOURNITURE D’UN PLAFOND EN BA13 AUTOPORTÉ</t>
  </si>
  <si>
    <t>FOURNITURE D’UN PLAFOND EN BA13 HYDROFUGE</t>
  </si>
  <si>
    <t>FOURNITURE D’UN PLAFOND EN BA13 HYDROFUGE AUTOPORTÉ</t>
  </si>
  <si>
    <t>FOURNITURE ISOLANT EP.100</t>
  </si>
  <si>
    <t>JOINTEMENT DE PLAQUE BA13 PAR BANDES</t>
  </si>
  <si>
    <t>FOURNITURE CARRELAGE / COLLE ET JOINT INCLUS (pour 25€/m2)</t>
  </si>
  <si>
    <t>FOURNITURE FAÏENCE / COLLE ET JOINT INCLUS (pour 25€/m2)</t>
  </si>
  <si>
    <t>ÉTANCHÉITÉ SOUS CARRELAGE MURAL</t>
  </si>
  <si>
    <t>FOURNITURE PROFILÉ FINITION ALU</t>
  </si>
  <si>
    <t>FOURNITURE TABLIER DE BAIGNOIRE</t>
  </si>
  <si>
    <t>ENDUIT / REBOUCHAGE ET FINITIONS</t>
  </si>
  <si>
    <t>TOILE RÉNOVATION</t>
  </si>
  <si>
    <t>FOURNITURE PARQUET MASSIF CONTRECOLLÉ / SOUS-COUCHE, COLLE ET PLINTHES INCLUS (pour 45€/m2)</t>
  </si>
  <si>
    <t>FOURNITURE BARRE DE SEUIL</t>
  </si>
  <si>
    <t>FOURNITURE ER POSE PLINTHE MDF BLANC 10X100MM</t>
  </si>
  <si>
    <t>FOURNITURE  ET POSE D'UN BA13 COLLÉ</t>
  </si>
  <si>
    <t>FOURNITURE ET POSE CLOISON BA13 AVEC ISOLANT 45 mm</t>
  </si>
  <si>
    <t>FOURNITURE ET POSE D'UN BA13 HYDROFUGE COLLÉ</t>
  </si>
  <si>
    <t xml:space="preserve">FOURNITURE ET POSE D'UN DOUBLAGE BA13 HYDROFUGE SUR OSSATURE METALLIQUE </t>
  </si>
  <si>
    <t>FOURNITURE ET POSE D’UNE PORTE INTÉRIEURE ISOPLANE (73CM)</t>
  </si>
  <si>
    <t>FOURNITURE ET POSE D’UNE PORTE INTÉRIEURE SAPIN</t>
  </si>
  <si>
    <t>FOURNITURE ET POSE PEINTURE PORTE INT. BLC MAT / IMPRESSION + 2 COUCHES</t>
  </si>
  <si>
    <t>FOURNITURE ET POSE D'UNE CLOISON BA13 HYDROFUGE AVEC ISOLANT 45 mm</t>
  </si>
  <si>
    <t>PROTECTION DU CHANTIER</t>
  </si>
  <si>
    <t>ENLEVMENT ET TRAITEMENT  DES DECHETS</t>
  </si>
  <si>
    <t>REBOUCHAGE TROU</t>
  </si>
  <si>
    <t>FOURNITURE ET POSE ISOLATION  POLYSTYRENE PLANCHER</t>
  </si>
  <si>
    <t>FOUTNITURE ET POSE D'UN DOUBLAGE BA13 SUR OSSATURE METALLIQUE + ISOLATION 45MM</t>
  </si>
  <si>
    <t>DEMOLITION /  DEPOSE REVETEMENT DE SOL /</t>
  </si>
  <si>
    <t>DEMOLITION /DEPOSE CLOISON</t>
  </si>
  <si>
    <t>FOURNITURE ET POSE PLINTHES</t>
  </si>
  <si>
    <t>PEINTURE PLAFOND BLANC  MAT / IMPRESSION + 2 COUCHES + FOURNITURE</t>
  </si>
  <si>
    <t>PEINTURE  MUR BLANC MAT VELOUTÉ / IMPRESSION + 2 COUCHES + FOURNITURE</t>
  </si>
  <si>
    <t>FOURNITURE ET POSE D’UNE PORTE INTÉRIEURE  (83CM)</t>
  </si>
  <si>
    <t>POSE BANDES PLACO + ENDUIT + LISSAGE ET PONCAGE</t>
  </si>
  <si>
    <t>PONCAGE MURS + PLAFOND</t>
  </si>
  <si>
    <t>POSE LAME PVC</t>
  </si>
  <si>
    <t>M²</t>
  </si>
  <si>
    <t>FOURNITURE LAME PVC IMITATION BOIS</t>
  </si>
  <si>
    <t>SIRET: 00000000000000</t>
  </si>
  <si>
    <t xml:space="preserve">Espèces ou chèque à l'ordre de : Dupont Renovation </t>
  </si>
  <si>
    <r>
      <t xml:space="preserve">Contact : </t>
    </r>
    <r>
      <rPr>
        <sz val="10"/>
        <color theme="1"/>
        <rFont val="Calibri Light"/>
        <family val="2"/>
        <scheme val="major"/>
      </rPr>
      <t>M. Dupont Jean - 06 00 00 00 00 - contact@example.com</t>
    </r>
  </si>
  <si>
    <t xml:space="preserve">Virement bancaire IBAN FR76 0000 0000 0000 0000 0000 000 / SWIFT TESTFRPP </t>
  </si>
  <si>
    <t>DEMOLITION /DEPOSE CUISINE+ MODEFICATION RESEAU DE EVACUATION</t>
  </si>
  <si>
    <t>DEPOSE REVETEMENT MURAL / DETAPISSAGE MUR</t>
  </si>
  <si>
    <t xml:space="preserve"> pose carrelage / colle et joint inclus </t>
  </si>
  <si>
    <t xml:space="preserve"> pose faïence / colle et joint inclus </t>
  </si>
  <si>
    <t>pose d'une natte d'étanchéité mural</t>
  </si>
  <si>
    <t>pose d'une natte d'étanchéité sol</t>
  </si>
  <si>
    <t>pose primaire d'accrochage</t>
  </si>
  <si>
    <t xml:space="preserve">CP VILLE  </t>
  </si>
  <si>
    <t xml:space="preserve">Descriptif des travaux : rénovation </t>
  </si>
  <si>
    <t>REMPLACEMENT PLACO DEGRADE PAR BA13 HYDRO</t>
  </si>
  <si>
    <t xml:space="preserve">POSE PARQUET  CONTRECOLLE + SOUS-COUCHE  </t>
  </si>
  <si>
    <t>POSE D’UN JOINT ACRYLIQUE</t>
  </si>
  <si>
    <t>POSE PLINTHES</t>
  </si>
  <si>
    <t>m²</t>
  </si>
  <si>
    <t>FOURNITURE ET POSE D’UN PLAFOND EN BA13 PHONIQUE+ ISOLATION 2000MM+BANDES ISOLAPRO</t>
  </si>
  <si>
    <t>DEMOLITION MUR A BRIQUE</t>
  </si>
  <si>
    <t>FOUTNITURE ET POSE D'UN DOUBLAGE BA13 PHONIQUE SUR OSSATURE METALLIQUE + ISOLATION 45MM+BANDES ISOLA PRO</t>
  </si>
  <si>
    <t>FOUTNITURE ET POSE D'UN DOUBLAGE BA13 PHONIQUE SUR OSSATURE METALLIQUE + ISOLATION 200MM+BANDES ISOLA PRO</t>
  </si>
  <si>
    <t>FOURNITURE ET POSE D’UN PLAFOND EN BA13 + ISOLATION 300MM</t>
  </si>
  <si>
    <t>FOURNITURE ET POSE D'UNE CLOISON BA13 PHONIQUE AVEC ISOLANT 200 mm</t>
  </si>
  <si>
    <t>FOURNITURE ET POSE D’UN PLAFOND EN BA13 + ISOLATION 140MM</t>
  </si>
  <si>
    <t>FOURNITURE ET POSE D’UN PLAFOND EN BA13 PHONIQUE+ ISOLATION 200MM+BANDES ISOLAPRO</t>
  </si>
  <si>
    <t>Nantes 44100</t>
  </si>
  <si>
    <r>
      <rPr>
        <sz val="16"/>
        <color theme="1"/>
        <rFont val="Calibri Light"/>
        <family val="2"/>
        <charset val="204"/>
        <scheme val="major"/>
      </rPr>
      <t>Dupont Renovation</t>
    </r>
    <r>
      <rPr>
        <sz val="11"/>
        <color theme="1"/>
        <rFont val="Calibri Light"/>
        <family val="2"/>
        <scheme val="major"/>
      </rPr>
      <t>, 12 rue des Tests, 44000 Nantes</t>
    </r>
  </si>
  <si>
    <t>23042025</t>
  </si>
  <si>
    <t>Virginie Test</t>
  </si>
  <si>
    <t>12 RUE DES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</si>
</sst>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6"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color theme="1"/>
      <name val="HelveticaNeue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8"/>
      <name val="Calibri"/>
      <family val="2"/>
      <scheme val="minor"/>
    </font>
    <font>
      <i/>
      <sz val="12"/>
      <color theme="1"/>
      <name val="Calibri Light"/>
      <family val="2"/>
      <scheme val="major"/>
    </font>
    <font>
      <sz val="10"/>
      <color theme="1"/>
      <name val="Calibri Light"/>
      <family val="2"/>
      <charset val="204"/>
      <scheme val="major"/>
    </font>
    <font>
      <sz val="11"/>
      <color theme="1"/>
      <name val="Calibri Light"/>
      <family val="2"/>
      <charset val="204"/>
      <scheme val="major"/>
    </font>
    <font>
      <sz val="16"/>
      <color theme="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525D6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2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/>
    <xf numFmtId="49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49" fontId="1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0" fontId="0" fillId="0" borderId="0" xfId="0" applyBorder="1"/>
    <xf numFmtId="0" fontId="5" fillId="0" borderId="0" xfId="0" applyFont="1" applyBorder="1"/>
    <xf numFmtId="0" fontId="1" fillId="0" borderId="0" xfId="0" applyFont="1" applyBorder="1"/>
    <xf numFmtId="49" fontId="2" fillId="2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49" fontId="7" fillId="0" borderId="0" xfId="0" applyNumberFormat="1" applyFont="1" applyBorder="1" applyAlignment="1">
      <alignment horizontal="center" vertical="top"/>
    </xf>
    <xf numFmtId="0" fontId="6" fillId="0" borderId="0" xfId="0" applyFont="1" applyFill="1" applyBorder="1"/>
    <xf numFmtId="2" fontId="5" fillId="0" borderId="0" xfId="0" applyNumberFormat="1" applyFont="1" applyAlignment="1">
      <alignment horizontal="right" vertical="top"/>
    </xf>
    <xf numFmtId="49" fontId="5" fillId="0" borderId="0" xfId="0" applyNumberFormat="1" applyFont="1" applyBorder="1" applyAlignment="1">
      <alignment vertical="top" wrapText="1"/>
    </xf>
    <xf numFmtId="2" fontId="5" fillId="0" borderId="0" xfId="0" applyNumberFormat="1" applyFont="1" applyBorder="1" applyAlignment="1">
      <alignment horizontal="center" vertical="top"/>
    </xf>
    <xf numFmtId="2" fontId="5" fillId="0" borderId="0" xfId="0" applyNumberFormat="1" applyFont="1" applyBorder="1" applyAlignment="1">
      <alignment horizontal="right" vertical="top"/>
    </xf>
    <xf numFmtId="2" fontId="3" fillId="0" borderId="0" xfId="0" applyNumberFormat="1" applyFont="1" applyAlignment="1">
      <alignment horizontal="right" vertical="center" indent="1"/>
    </xf>
    <xf numFmtId="2" fontId="7" fillId="0" borderId="0" xfId="0" applyNumberFormat="1" applyFont="1" applyBorder="1" applyAlignment="1">
      <alignment horizontal="right" vertical="top" indent="1"/>
    </xf>
    <xf numFmtId="0" fontId="9" fillId="0" borderId="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49" fontId="5" fillId="0" borderId="0" xfId="0" applyNumberFormat="1" applyFont="1" applyBorder="1" applyAlignment="1">
      <alignment vertical="center" wrapText="1"/>
    </xf>
    <xf numFmtId="2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 wrapText="1"/>
    </xf>
    <xf numFmtId="2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2" fontId="7" fillId="0" borderId="0" xfId="0" applyNumberFormat="1" applyFont="1" applyAlignment="1">
      <alignment horizontal="right" vertical="center" indent="1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49" fontId="7" fillId="0" borderId="2" xfId="0" applyNumberFormat="1" applyFont="1" applyBorder="1" applyAlignment="1">
      <alignment vertical="top" wrapText="1"/>
    </xf>
    <xf numFmtId="49" fontId="7" fillId="0" borderId="2" xfId="0" applyNumberFormat="1" applyFont="1" applyBorder="1" applyAlignment="1">
      <alignment horizontal="center" vertical="top"/>
    </xf>
    <xf numFmtId="2" fontId="8" fillId="0" borderId="2" xfId="0" applyNumberFormat="1" applyFont="1" applyBorder="1" applyAlignment="1">
      <alignment horizontal="right" vertical="top" indent="1"/>
    </xf>
    <xf numFmtId="2" fontId="5" fillId="0" borderId="0" xfId="0" applyNumberFormat="1" applyFont="1" applyAlignment="1">
      <alignment horizontal="right" vertical="center" indent="1"/>
    </xf>
    <xf numFmtId="164" fontId="3" fillId="0" borderId="2" xfId="0" applyNumberFormat="1" applyFont="1" applyBorder="1" applyAlignment="1">
      <alignment horizontal="right" vertical="center" indent="1"/>
    </xf>
    <xf numFmtId="164" fontId="7" fillId="0" borderId="0" xfId="0" applyNumberFormat="1" applyFont="1" applyAlignment="1">
      <alignment horizontal="right" vertical="center" indent="1"/>
    </xf>
    <xf numFmtId="164" fontId="3" fillId="0" borderId="0" xfId="0" applyNumberFormat="1" applyFont="1" applyAlignment="1">
      <alignment horizontal="right" vertical="center" indent="1"/>
    </xf>
    <xf numFmtId="2" fontId="5" fillId="0" borderId="0" xfId="0" applyNumberFormat="1" applyFont="1" applyBorder="1" applyAlignment="1">
      <alignment horizontal="right" vertical="center" indent="1"/>
    </xf>
    <xf numFmtId="49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 wrapText="1"/>
    </xf>
    <xf numFmtId="2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 indent="1"/>
    </xf>
    <xf numFmtId="2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2" fontId="12" fillId="0" borderId="1" xfId="0" applyNumberFormat="1" applyFont="1" applyBorder="1" applyAlignment="1">
      <alignment horizontal="right" vertical="center" indent="1"/>
    </xf>
    <xf numFmtId="164" fontId="12" fillId="0" borderId="1" xfId="0" applyNumberFormat="1" applyFont="1" applyBorder="1" applyAlignment="1">
      <alignment horizontal="right" vertical="center" indent="1"/>
    </xf>
    <xf numFmtId="49" fontId="5" fillId="0" borderId="0" xfId="0" applyNumberFormat="1" applyFont="1" applyBorder="1"/>
    <xf numFmtId="49" fontId="5" fillId="0" borderId="0" xfId="0" applyNumberFormat="1" applyFont="1" applyFill="1" applyBorder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right" vertical="center" indent="1"/>
    </xf>
    <xf numFmtId="49" fontId="13" fillId="0" borderId="0" xfId="0" applyNumberFormat="1" applyFont="1" applyBorder="1"/>
    <xf numFmtId="0" fontId="14" fillId="0" borderId="1" xfId="0" applyFont="1" applyBorder="1" applyAlignment="1">
      <alignment vertical="center" wrapText="1"/>
    </xf>
    <xf numFmtId="2" fontId="5" fillId="0" borderId="0" xfId="0" applyNumberFormat="1" applyFont="1" applyAlignment="1">
      <alignment horizontal="left" vertical="center"/>
    </xf>
    <xf numFmtId="0" fontId="7" fillId="0" borderId="0" xfId="0" applyFont="1" applyBorder="1"/>
    <xf numFmtId="49" fontId="5" fillId="0" borderId="3" xfId="0" applyNumberFormat="1" applyFont="1" applyBorder="1" applyAlignment="1">
      <alignment vertical="top" wrapText="1"/>
    </xf>
    <xf numFmtId="2" fontId="5" fillId="0" borderId="2" xfId="0" applyNumberFormat="1" applyFont="1" applyBorder="1" applyAlignment="1">
      <alignment horizontal="center" vertical="top"/>
    </xf>
    <xf numFmtId="2" fontId="5" fillId="0" borderId="4" xfId="0" applyNumberFormat="1" applyFont="1" applyBorder="1" applyAlignment="1">
      <alignment horizontal="right" vertical="center" indent="1"/>
    </xf>
    <xf numFmtId="49" fontId="5" fillId="0" borderId="5" xfId="0" applyNumberFormat="1" applyFont="1" applyBorder="1" applyAlignment="1">
      <alignment vertical="top" wrapText="1"/>
    </xf>
    <xf numFmtId="2" fontId="5" fillId="0" borderId="6" xfId="0" applyNumberFormat="1" applyFont="1" applyBorder="1" applyAlignment="1">
      <alignment horizontal="right" vertical="center" indent="1"/>
    </xf>
    <xf numFmtId="49" fontId="5" fillId="0" borderId="7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horizontal="center" vertical="top"/>
    </xf>
    <xf numFmtId="2" fontId="5" fillId="0" borderId="8" xfId="0" applyNumberFormat="1" applyFont="1" applyBorder="1" applyAlignment="1">
      <alignment horizontal="right" vertical="center" indent="1"/>
    </xf>
    <xf numFmtId="49" fontId="13" fillId="0" borderId="5" xfId="0" applyNumberFormat="1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525D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203480</xdr:rowOff>
    </xdr:from>
    <xdr:to>
      <xdr:col>2</xdr:col>
      <xdr:colOff>507318</xdr:colOff>
      <xdr:row>44</xdr:row>
      <xdr:rowOff>203480</xdr:rowOff>
    </xdr:to>
    <xdr:pic>
      <xdr:nvPicPr>
        <xdr:cNvPr id="3" name="Image 2" descr="page1image6810112">
          <a:extLst>
            <a:ext uri="{FF2B5EF4-FFF2-40B4-BE49-F238E27FC236}">
              <a16:creationId xmlns:a16="http://schemas.microsoft.com/office/drawing/2014/main" id="{B4E0759E-D076-EB60-71C3-F64DD6F77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1875"/>
          <a:ext cx="2357441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203480</xdr:rowOff>
    </xdr:from>
    <xdr:to>
      <xdr:col>0</xdr:col>
      <xdr:colOff>0</xdr:colOff>
      <xdr:row>46</xdr:row>
      <xdr:rowOff>203480</xdr:rowOff>
    </xdr:to>
    <xdr:pic>
      <xdr:nvPicPr>
        <xdr:cNvPr id="4" name="Image 3" descr="page1image6313024">
          <a:extLst>
            <a:ext uri="{FF2B5EF4-FFF2-40B4-BE49-F238E27FC236}">
              <a16:creationId xmlns:a16="http://schemas.microsoft.com/office/drawing/2014/main" id="{6143993B-966C-8484-14C1-4F1E85CF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1875"/>
          <a:ext cx="0" cy="40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</xdr:colOff>
      <xdr:row>44</xdr:row>
      <xdr:rowOff>203480</xdr:rowOff>
    </xdr:from>
    <xdr:to>
      <xdr:col>0</xdr:col>
      <xdr:colOff>12700</xdr:colOff>
      <xdr:row>46</xdr:row>
      <xdr:rowOff>203480</xdr:rowOff>
    </xdr:to>
    <xdr:pic>
      <xdr:nvPicPr>
        <xdr:cNvPr id="5" name="Image 4" descr="page1image6313216">
          <a:extLst>
            <a:ext uri="{FF2B5EF4-FFF2-40B4-BE49-F238E27FC236}">
              <a16:creationId xmlns:a16="http://schemas.microsoft.com/office/drawing/2014/main" id="{47F196C2-BB22-2F79-484A-F0FDDB496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9171875"/>
          <a:ext cx="0" cy="40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203480</xdr:rowOff>
    </xdr:from>
    <xdr:to>
      <xdr:col>0</xdr:col>
      <xdr:colOff>0</xdr:colOff>
      <xdr:row>89</xdr:row>
      <xdr:rowOff>25400</xdr:rowOff>
    </xdr:to>
    <xdr:pic>
      <xdr:nvPicPr>
        <xdr:cNvPr id="6" name="Image 5" descr="page1image6319744">
          <a:extLst>
            <a:ext uri="{FF2B5EF4-FFF2-40B4-BE49-F238E27FC236}">
              <a16:creationId xmlns:a16="http://schemas.microsoft.com/office/drawing/2014/main" id="{350DBA37-657D-2EA7-7083-6C3A0505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1628"/>
          <a:ext cx="0" cy="6344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203480</xdr:rowOff>
    </xdr:from>
    <xdr:to>
      <xdr:col>0</xdr:col>
      <xdr:colOff>0</xdr:colOff>
      <xdr:row>89</xdr:row>
      <xdr:rowOff>25400</xdr:rowOff>
    </xdr:to>
    <xdr:pic>
      <xdr:nvPicPr>
        <xdr:cNvPr id="7" name="Image 6" descr="page1image6319936">
          <a:extLst>
            <a:ext uri="{FF2B5EF4-FFF2-40B4-BE49-F238E27FC236}">
              <a16:creationId xmlns:a16="http://schemas.microsoft.com/office/drawing/2014/main" id="{FBE179A6-1202-C99E-8701-FB00A169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1628"/>
          <a:ext cx="0" cy="6344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203480</xdr:rowOff>
    </xdr:from>
    <xdr:to>
      <xdr:col>12</xdr:col>
      <xdr:colOff>469218</xdr:colOff>
      <xdr:row>109</xdr:row>
      <xdr:rowOff>203480</xdr:rowOff>
    </xdr:to>
    <xdr:sp macro="" textlink="">
      <xdr:nvSpPr>
        <xdr:cNvPr id="4103" name="AutoShape 7" descr="page2image28580864">
          <a:extLst>
            <a:ext uri="{FF2B5EF4-FFF2-40B4-BE49-F238E27FC236}">
              <a16:creationId xmlns:a16="http://schemas.microsoft.com/office/drawing/2014/main" id="{FB180A57-BEC9-14A4-717C-197891EC4C62}"/>
            </a:ext>
          </a:extLst>
        </xdr:cNvPr>
        <xdr:cNvSpPr>
          <a:spLocks noChangeAspect="1" noChangeArrowheads="1"/>
        </xdr:cNvSpPr>
      </xdr:nvSpPr>
      <xdr:spPr bwMode="auto">
        <a:xfrm>
          <a:off x="0" y="11821628"/>
          <a:ext cx="10629218" cy="10599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203480</xdr:rowOff>
    </xdr:from>
    <xdr:to>
      <xdr:col>0</xdr:col>
      <xdr:colOff>0</xdr:colOff>
      <xdr:row>61</xdr:row>
      <xdr:rowOff>203480</xdr:rowOff>
    </xdr:to>
    <xdr:pic>
      <xdr:nvPicPr>
        <xdr:cNvPr id="8" name="Image 7" descr="page2image6562240">
          <a:extLst>
            <a:ext uri="{FF2B5EF4-FFF2-40B4-BE49-F238E27FC236}">
              <a16:creationId xmlns:a16="http://schemas.microsoft.com/office/drawing/2014/main" id="{7360A24F-CEC5-9D12-0996-28BFBB3E2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29282"/>
          <a:ext cx="0" cy="40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203480</xdr:rowOff>
    </xdr:from>
    <xdr:to>
      <xdr:col>0</xdr:col>
      <xdr:colOff>0</xdr:colOff>
      <xdr:row>130</xdr:row>
      <xdr:rowOff>12699</xdr:rowOff>
    </xdr:to>
    <xdr:pic>
      <xdr:nvPicPr>
        <xdr:cNvPr id="9" name="Image 8" descr="page2image6697344">
          <a:extLst>
            <a:ext uri="{FF2B5EF4-FFF2-40B4-BE49-F238E27FC236}">
              <a16:creationId xmlns:a16="http://schemas.microsoft.com/office/drawing/2014/main" id="{BDC124AD-F3C4-884E-D5E3-7CF143F7A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05826"/>
          <a:ext cx="0" cy="10204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1011</xdr:rowOff>
    </xdr:from>
    <xdr:to>
      <xdr:col>0</xdr:col>
      <xdr:colOff>0</xdr:colOff>
      <xdr:row>106</xdr:row>
      <xdr:rowOff>0</xdr:rowOff>
    </xdr:to>
    <xdr:pic>
      <xdr:nvPicPr>
        <xdr:cNvPr id="10" name="Image 9" descr="page3image6393984">
          <a:extLst>
            <a:ext uri="{FF2B5EF4-FFF2-40B4-BE49-F238E27FC236}">
              <a16:creationId xmlns:a16="http://schemas.microsoft.com/office/drawing/2014/main" id="{86C96A5D-E427-88A8-B53B-34CBA9EE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99036"/>
          <a:ext cx="0" cy="406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354918</xdr:colOff>
      <xdr:row>175</xdr:row>
      <xdr:rowOff>88901</xdr:rowOff>
    </xdr:to>
    <xdr:sp macro="" textlink="">
      <xdr:nvSpPr>
        <xdr:cNvPr id="4107" name="AutoShape 11" descr="page3image28575712">
          <a:extLst>
            <a:ext uri="{FF2B5EF4-FFF2-40B4-BE49-F238E27FC236}">
              <a16:creationId xmlns:a16="http://schemas.microsoft.com/office/drawing/2014/main" id="{6A6CF83B-7D5F-F3BD-730D-297F406E9F90}"/>
            </a:ext>
          </a:extLst>
        </xdr:cNvPr>
        <xdr:cNvSpPr>
          <a:spLocks noChangeAspect="1" noChangeArrowheads="1"/>
        </xdr:cNvSpPr>
      </xdr:nvSpPr>
      <xdr:spPr bwMode="auto">
        <a:xfrm>
          <a:off x="0" y="25274568"/>
          <a:ext cx="10514918" cy="10484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1011</xdr:rowOff>
    </xdr:from>
    <xdr:to>
      <xdr:col>0</xdr:col>
      <xdr:colOff>0</xdr:colOff>
      <xdr:row>176</xdr:row>
      <xdr:rowOff>101598</xdr:rowOff>
    </xdr:to>
    <xdr:pic>
      <xdr:nvPicPr>
        <xdr:cNvPr id="11" name="Image 10" descr="page3image6396096">
          <a:extLst>
            <a:ext uri="{FF2B5EF4-FFF2-40B4-BE49-F238E27FC236}">
              <a16:creationId xmlns:a16="http://schemas.microsoft.com/office/drawing/2014/main" id="{B01381ED-443E-0E10-E0E9-D1A37FC9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87060"/>
          <a:ext cx="0" cy="10088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203480</xdr:rowOff>
    </xdr:from>
    <xdr:to>
      <xdr:col>7</xdr:col>
      <xdr:colOff>367618</xdr:colOff>
      <xdr:row>143</xdr:row>
      <xdr:rowOff>203480</xdr:rowOff>
    </xdr:to>
    <xdr:pic>
      <xdr:nvPicPr>
        <xdr:cNvPr id="12" name="Image 11" descr="page3image6396480">
          <a:extLst>
            <a:ext uri="{FF2B5EF4-FFF2-40B4-BE49-F238E27FC236}">
              <a16:creationId xmlns:a16="http://schemas.microsoft.com/office/drawing/2014/main" id="{1825C66F-48C8-EDAA-C9E8-589A89E30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50764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127</xdr:row>
      <xdr:rowOff>1011</xdr:rowOff>
    </xdr:from>
    <xdr:to>
      <xdr:col>15</xdr:col>
      <xdr:colOff>317499</xdr:colOff>
      <xdr:row>127</xdr:row>
      <xdr:rowOff>1011</xdr:rowOff>
    </xdr:to>
    <xdr:pic>
      <xdr:nvPicPr>
        <xdr:cNvPr id="13" name="Image 12" descr="page3image6396672">
          <a:extLst>
            <a:ext uri="{FF2B5EF4-FFF2-40B4-BE49-F238E27FC236}">
              <a16:creationId xmlns:a16="http://schemas.microsoft.com/office/drawing/2014/main" id="{931C0CBD-DCCB-AA56-A931-8C5127C6F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562" y="25887060"/>
          <a:ext cx="63939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203480</xdr:rowOff>
    </xdr:from>
    <xdr:to>
      <xdr:col>0</xdr:col>
      <xdr:colOff>0</xdr:colOff>
      <xdr:row>146</xdr:row>
      <xdr:rowOff>1012</xdr:rowOff>
    </xdr:to>
    <xdr:pic>
      <xdr:nvPicPr>
        <xdr:cNvPr id="14" name="Image 13" descr="page4image6486272">
          <a:extLst>
            <a:ext uri="{FF2B5EF4-FFF2-40B4-BE49-F238E27FC236}">
              <a16:creationId xmlns:a16="http://schemas.microsoft.com/office/drawing/2014/main" id="{637A3421-27A9-F070-41A4-171367BE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50764"/>
          <a:ext cx="0" cy="409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</xdr:colOff>
      <xdr:row>143</xdr:row>
      <xdr:rowOff>203480</xdr:rowOff>
    </xdr:from>
    <xdr:to>
      <xdr:col>0</xdr:col>
      <xdr:colOff>12700</xdr:colOff>
      <xdr:row>146</xdr:row>
      <xdr:rowOff>1012</xdr:rowOff>
    </xdr:to>
    <xdr:pic>
      <xdr:nvPicPr>
        <xdr:cNvPr id="15" name="Image 14" descr="page4image6486464">
          <a:extLst>
            <a:ext uri="{FF2B5EF4-FFF2-40B4-BE49-F238E27FC236}">
              <a16:creationId xmlns:a16="http://schemas.microsoft.com/office/drawing/2014/main" id="{75987549-5F0F-72C9-C209-FBA96198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29350764"/>
          <a:ext cx="0" cy="409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</xdr:colOff>
      <xdr:row>143</xdr:row>
      <xdr:rowOff>203480</xdr:rowOff>
    </xdr:from>
    <xdr:to>
      <xdr:col>0</xdr:col>
      <xdr:colOff>25400</xdr:colOff>
      <xdr:row>146</xdr:row>
      <xdr:rowOff>1012</xdr:rowOff>
    </xdr:to>
    <xdr:pic>
      <xdr:nvPicPr>
        <xdr:cNvPr id="16" name="Image 15" descr="page4image6486656">
          <a:extLst>
            <a:ext uri="{FF2B5EF4-FFF2-40B4-BE49-F238E27FC236}">
              <a16:creationId xmlns:a16="http://schemas.microsoft.com/office/drawing/2014/main" id="{06A30374-F078-41AE-040F-7050C6489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29350764"/>
          <a:ext cx="0" cy="409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203480</xdr:rowOff>
    </xdr:from>
    <xdr:to>
      <xdr:col>0</xdr:col>
      <xdr:colOff>0</xdr:colOff>
      <xdr:row>176</xdr:row>
      <xdr:rowOff>88899</xdr:rowOff>
    </xdr:to>
    <xdr:pic>
      <xdr:nvPicPr>
        <xdr:cNvPr id="18" name="Image 17" descr="page4image6487040">
          <a:extLst>
            <a:ext uri="{FF2B5EF4-FFF2-40B4-BE49-F238E27FC236}">
              <a16:creationId xmlns:a16="http://schemas.microsoft.com/office/drawing/2014/main" id="{13C4641B-BA3D-1A71-613B-78F5E5EB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50764"/>
          <a:ext cx="0" cy="6611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</xdr:colOff>
      <xdr:row>143</xdr:row>
      <xdr:rowOff>203480</xdr:rowOff>
    </xdr:from>
    <xdr:to>
      <xdr:col>0</xdr:col>
      <xdr:colOff>12700</xdr:colOff>
      <xdr:row>176</xdr:row>
      <xdr:rowOff>88899</xdr:rowOff>
    </xdr:to>
    <xdr:pic>
      <xdr:nvPicPr>
        <xdr:cNvPr id="19" name="Image 18" descr="page4image6487232">
          <a:extLst>
            <a:ext uri="{FF2B5EF4-FFF2-40B4-BE49-F238E27FC236}">
              <a16:creationId xmlns:a16="http://schemas.microsoft.com/office/drawing/2014/main" id="{AF4A749D-CB4E-53D0-5C35-769D84C7B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29350764"/>
          <a:ext cx="0" cy="6611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</xdr:colOff>
      <xdr:row>143</xdr:row>
      <xdr:rowOff>203480</xdr:rowOff>
    </xdr:from>
    <xdr:to>
      <xdr:col>0</xdr:col>
      <xdr:colOff>25400</xdr:colOff>
      <xdr:row>176</xdr:row>
      <xdr:rowOff>88899</xdr:rowOff>
    </xdr:to>
    <xdr:pic>
      <xdr:nvPicPr>
        <xdr:cNvPr id="20" name="Image 19" descr="page4image6487424">
          <a:extLst>
            <a:ext uri="{FF2B5EF4-FFF2-40B4-BE49-F238E27FC236}">
              <a16:creationId xmlns:a16="http://schemas.microsoft.com/office/drawing/2014/main" id="{640E9031-E494-44F9-D004-2F1BF2DD5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29350764"/>
          <a:ext cx="0" cy="6611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143</xdr:row>
      <xdr:rowOff>203480</xdr:rowOff>
    </xdr:from>
    <xdr:to>
      <xdr:col>7</xdr:col>
      <xdr:colOff>405718</xdr:colOff>
      <xdr:row>143</xdr:row>
      <xdr:rowOff>203480</xdr:rowOff>
    </xdr:to>
    <xdr:pic>
      <xdr:nvPicPr>
        <xdr:cNvPr id="21" name="Image 20" descr="page4image6487616">
          <a:extLst>
            <a:ext uri="{FF2B5EF4-FFF2-40B4-BE49-F238E27FC236}">
              <a16:creationId xmlns:a16="http://schemas.microsoft.com/office/drawing/2014/main" id="{881EC1C4-DD01-FBF0-0278-CEB6A7B5E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350764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609600</xdr:colOff>
      <xdr:row>127</xdr:row>
      <xdr:rowOff>1011</xdr:rowOff>
    </xdr:from>
    <xdr:to>
      <xdr:col>15</xdr:col>
      <xdr:colOff>355599</xdr:colOff>
      <xdr:row>127</xdr:row>
      <xdr:rowOff>1011</xdr:rowOff>
    </xdr:to>
    <xdr:pic>
      <xdr:nvPicPr>
        <xdr:cNvPr id="22" name="Image 21" descr="page4image6487808">
          <a:extLst>
            <a:ext uri="{FF2B5EF4-FFF2-40B4-BE49-F238E27FC236}">
              <a16:creationId xmlns:a16="http://schemas.microsoft.com/office/drawing/2014/main" id="{8CD17C6C-56AD-9028-D717-D9CAC71C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662" y="25887060"/>
          <a:ext cx="63939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203480</xdr:rowOff>
    </xdr:from>
    <xdr:to>
      <xdr:col>7</xdr:col>
      <xdr:colOff>367618</xdr:colOff>
      <xdr:row>148</xdr:row>
      <xdr:rowOff>203480</xdr:rowOff>
    </xdr:to>
    <xdr:pic>
      <xdr:nvPicPr>
        <xdr:cNvPr id="25" name="Image 24" descr="page4image6569344">
          <a:extLst>
            <a:ext uri="{FF2B5EF4-FFF2-40B4-BE49-F238E27FC236}">
              <a16:creationId xmlns:a16="http://schemas.microsoft.com/office/drawing/2014/main" id="{2DF5DD3D-3353-11CD-3904-DB41E43E9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69900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203480</xdr:rowOff>
    </xdr:from>
    <xdr:to>
      <xdr:col>7</xdr:col>
      <xdr:colOff>367618</xdr:colOff>
      <xdr:row>156</xdr:row>
      <xdr:rowOff>203480</xdr:rowOff>
    </xdr:to>
    <xdr:pic>
      <xdr:nvPicPr>
        <xdr:cNvPr id="29" name="Image 28" descr="page4image6455872">
          <a:extLst>
            <a:ext uri="{FF2B5EF4-FFF2-40B4-BE49-F238E27FC236}">
              <a16:creationId xmlns:a16="http://schemas.microsoft.com/office/drawing/2014/main" id="{9B904090-F2B3-EE49-D779-72CF7FA4F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0517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203480</xdr:rowOff>
    </xdr:from>
    <xdr:to>
      <xdr:col>7</xdr:col>
      <xdr:colOff>367618</xdr:colOff>
      <xdr:row>158</xdr:row>
      <xdr:rowOff>203480</xdr:rowOff>
    </xdr:to>
    <xdr:pic>
      <xdr:nvPicPr>
        <xdr:cNvPr id="32" name="Image 31" descr="page4image6456448">
          <a:extLst>
            <a:ext uri="{FF2B5EF4-FFF2-40B4-BE49-F238E27FC236}">
              <a16:creationId xmlns:a16="http://schemas.microsoft.com/office/drawing/2014/main" id="{639BB16A-8640-4B8C-C268-6D156B3D4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08171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495300</xdr:colOff>
      <xdr:row>150</xdr:row>
      <xdr:rowOff>203480</xdr:rowOff>
    </xdr:from>
    <xdr:to>
      <xdr:col>17</xdr:col>
      <xdr:colOff>228601</xdr:colOff>
      <xdr:row>150</xdr:row>
      <xdr:rowOff>203480</xdr:rowOff>
    </xdr:to>
    <xdr:pic>
      <xdr:nvPicPr>
        <xdr:cNvPr id="34" name="Image 33" descr="page4image6457216">
          <a:extLst>
            <a:ext uri="{FF2B5EF4-FFF2-40B4-BE49-F238E27FC236}">
              <a16:creationId xmlns:a16="http://schemas.microsoft.com/office/drawing/2014/main" id="{C2FF9655-6B34-4F11-BB84-BF848CC5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337" y="30777554"/>
          <a:ext cx="638120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203480</xdr:rowOff>
    </xdr:from>
    <xdr:to>
      <xdr:col>7</xdr:col>
      <xdr:colOff>367618</xdr:colOff>
      <xdr:row>161</xdr:row>
      <xdr:rowOff>203480</xdr:rowOff>
    </xdr:to>
    <xdr:pic>
      <xdr:nvPicPr>
        <xdr:cNvPr id="37" name="Image 36" descr="page4image6457792">
          <a:extLst>
            <a:ext uri="{FF2B5EF4-FFF2-40B4-BE49-F238E27FC236}">
              <a16:creationId xmlns:a16="http://schemas.microsoft.com/office/drawing/2014/main" id="{7DF33721-E11A-BAF6-D78F-58CA1F32E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19653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495300</xdr:colOff>
      <xdr:row>154</xdr:row>
      <xdr:rowOff>203480</xdr:rowOff>
    </xdr:from>
    <xdr:to>
      <xdr:col>17</xdr:col>
      <xdr:colOff>228601</xdr:colOff>
      <xdr:row>154</xdr:row>
      <xdr:rowOff>203480</xdr:rowOff>
    </xdr:to>
    <xdr:pic>
      <xdr:nvPicPr>
        <xdr:cNvPr id="39" name="Image 38" descr="page4image6458176">
          <a:extLst>
            <a:ext uri="{FF2B5EF4-FFF2-40B4-BE49-F238E27FC236}">
              <a16:creationId xmlns:a16="http://schemas.microsoft.com/office/drawing/2014/main" id="{50E6000A-2095-45AC-847C-CB6F7896E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337" y="31592863"/>
          <a:ext cx="638120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203480</xdr:rowOff>
    </xdr:from>
    <xdr:to>
      <xdr:col>7</xdr:col>
      <xdr:colOff>367618</xdr:colOff>
      <xdr:row>164</xdr:row>
      <xdr:rowOff>203480</xdr:rowOff>
    </xdr:to>
    <xdr:pic>
      <xdr:nvPicPr>
        <xdr:cNvPr id="42" name="Image 41" descr="page4image6458752">
          <a:extLst>
            <a:ext uri="{FF2B5EF4-FFF2-40B4-BE49-F238E27FC236}">
              <a16:creationId xmlns:a16="http://schemas.microsoft.com/office/drawing/2014/main" id="{0EAFAE08-3143-6134-867D-A64BA89A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31134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165100</xdr:colOff>
      <xdr:row>158</xdr:row>
      <xdr:rowOff>203480</xdr:rowOff>
    </xdr:from>
    <xdr:to>
      <xdr:col>18</xdr:col>
      <xdr:colOff>723900</xdr:colOff>
      <xdr:row>158</xdr:row>
      <xdr:rowOff>203480</xdr:rowOff>
    </xdr:to>
    <xdr:pic>
      <xdr:nvPicPr>
        <xdr:cNvPr id="46" name="Image 45" descr="page4image6459136">
          <a:extLst>
            <a:ext uri="{FF2B5EF4-FFF2-40B4-BE49-F238E27FC236}">
              <a16:creationId xmlns:a16="http://schemas.microsoft.com/office/drawing/2014/main" id="{3314A127-21FD-5E89-EFA1-270DFD5C7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4112" y="32408171"/>
          <a:ext cx="6375714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203480</xdr:rowOff>
    </xdr:from>
    <xdr:to>
      <xdr:col>7</xdr:col>
      <xdr:colOff>367618</xdr:colOff>
      <xdr:row>167</xdr:row>
      <xdr:rowOff>203480</xdr:rowOff>
    </xdr:to>
    <xdr:pic>
      <xdr:nvPicPr>
        <xdr:cNvPr id="49" name="Image 48" descr="page4image6459712">
          <a:extLst>
            <a:ext uri="{FF2B5EF4-FFF2-40B4-BE49-F238E27FC236}">
              <a16:creationId xmlns:a16="http://schemas.microsoft.com/office/drawing/2014/main" id="{5ADB0DE4-C9BC-9667-B426-BFE38AC1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42616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495300</xdr:colOff>
      <xdr:row>162</xdr:row>
      <xdr:rowOff>203480</xdr:rowOff>
    </xdr:from>
    <xdr:to>
      <xdr:col>17</xdr:col>
      <xdr:colOff>228601</xdr:colOff>
      <xdr:row>162</xdr:row>
      <xdr:rowOff>203480</xdr:rowOff>
    </xdr:to>
    <xdr:pic>
      <xdr:nvPicPr>
        <xdr:cNvPr id="51" name="Image 50" descr="page4image6460096">
          <a:extLst>
            <a:ext uri="{FF2B5EF4-FFF2-40B4-BE49-F238E27FC236}">
              <a16:creationId xmlns:a16="http://schemas.microsoft.com/office/drawing/2014/main" id="{2194E382-73D6-CD71-BBF4-705FE8D5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337" y="33223480"/>
          <a:ext cx="638120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203480</xdr:rowOff>
    </xdr:from>
    <xdr:to>
      <xdr:col>7</xdr:col>
      <xdr:colOff>367618</xdr:colOff>
      <xdr:row>170</xdr:row>
      <xdr:rowOff>203480</xdr:rowOff>
    </xdr:to>
    <xdr:pic>
      <xdr:nvPicPr>
        <xdr:cNvPr id="54" name="Image 53" descr="page4image6460672">
          <a:extLst>
            <a:ext uri="{FF2B5EF4-FFF2-40B4-BE49-F238E27FC236}">
              <a16:creationId xmlns:a16="http://schemas.microsoft.com/office/drawing/2014/main" id="{5C8FC365-08BA-EEE8-67AA-746E2AFE0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54097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495300</xdr:colOff>
      <xdr:row>166</xdr:row>
      <xdr:rowOff>203480</xdr:rowOff>
    </xdr:from>
    <xdr:to>
      <xdr:col>17</xdr:col>
      <xdr:colOff>228601</xdr:colOff>
      <xdr:row>166</xdr:row>
      <xdr:rowOff>203480</xdr:rowOff>
    </xdr:to>
    <xdr:pic>
      <xdr:nvPicPr>
        <xdr:cNvPr id="56" name="Image 55" descr="page4image6461056">
          <a:extLst>
            <a:ext uri="{FF2B5EF4-FFF2-40B4-BE49-F238E27FC236}">
              <a16:creationId xmlns:a16="http://schemas.microsoft.com/office/drawing/2014/main" id="{6015E02D-9AAF-2F7F-4F34-F93AEA73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337" y="34038789"/>
          <a:ext cx="638120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203480</xdr:rowOff>
    </xdr:from>
    <xdr:to>
      <xdr:col>7</xdr:col>
      <xdr:colOff>367618</xdr:colOff>
      <xdr:row>173</xdr:row>
      <xdr:rowOff>203480</xdr:rowOff>
    </xdr:to>
    <xdr:pic>
      <xdr:nvPicPr>
        <xdr:cNvPr id="59" name="Image 58" descr="page4image6461632">
          <a:extLst>
            <a:ext uri="{FF2B5EF4-FFF2-40B4-BE49-F238E27FC236}">
              <a16:creationId xmlns:a16="http://schemas.microsoft.com/office/drawing/2014/main" id="{F83CADDA-C6FD-1109-AE73-B378D6FB7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65579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495300</xdr:colOff>
      <xdr:row>170</xdr:row>
      <xdr:rowOff>203480</xdr:rowOff>
    </xdr:from>
    <xdr:to>
      <xdr:col>17</xdr:col>
      <xdr:colOff>228601</xdr:colOff>
      <xdr:row>170</xdr:row>
      <xdr:rowOff>203480</xdr:rowOff>
    </xdr:to>
    <xdr:pic>
      <xdr:nvPicPr>
        <xdr:cNvPr id="61" name="Image 60" descr="page4image6462016">
          <a:extLst>
            <a:ext uri="{FF2B5EF4-FFF2-40B4-BE49-F238E27FC236}">
              <a16:creationId xmlns:a16="http://schemas.microsoft.com/office/drawing/2014/main" id="{EC5033DA-1C41-A16E-14B4-7261C7B4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337" y="34854097"/>
          <a:ext cx="638120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203480</xdr:rowOff>
    </xdr:from>
    <xdr:to>
      <xdr:col>7</xdr:col>
      <xdr:colOff>367618</xdr:colOff>
      <xdr:row>176</xdr:row>
      <xdr:rowOff>203480</xdr:rowOff>
    </xdr:to>
    <xdr:pic>
      <xdr:nvPicPr>
        <xdr:cNvPr id="4096" name="Image 4095" descr="page4image6462592">
          <a:extLst>
            <a:ext uri="{FF2B5EF4-FFF2-40B4-BE49-F238E27FC236}">
              <a16:creationId xmlns:a16="http://schemas.microsoft.com/office/drawing/2014/main" id="{2933D609-4669-7120-91BF-E5AF5A39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7060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174</xdr:row>
      <xdr:rowOff>203480</xdr:rowOff>
    </xdr:from>
    <xdr:to>
      <xdr:col>15</xdr:col>
      <xdr:colOff>304799</xdr:colOff>
      <xdr:row>174</xdr:row>
      <xdr:rowOff>203480</xdr:rowOff>
    </xdr:to>
    <xdr:pic>
      <xdr:nvPicPr>
        <xdr:cNvPr id="4097" name="Image 4096" descr="page4image6462784">
          <a:extLst>
            <a:ext uri="{FF2B5EF4-FFF2-40B4-BE49-F238E27FC236}">
              <a16:creationId xmlns:a16="http://schemas.microsoft.com/office/drawing/2014/main" id="{ADB5A861-36BC-ACAE-7EC1-27FC9BD5D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562" y="35669406"/>
          <a:ext cx="6381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203480</xdr:rowOff>
    </xdr:from>
    <xdr:to>
      <xdr:col>7</xdr:col>
      <xdr:colOff>367618</xdr:colOff>
      <xdr:row>179</xdr:row>
      <xdr:rowOff>203480</xdr:rowOff>
    </xdr:to>
    <xdr:pic>
      <xdr:nvPicPr>
        <xdr:cNvPr id="4099" name="Image 4098" descr="page4image6463168">
          <a:extLst>
            <a:ext uri="{FF2B5EF4-FFF2-40B4-BE49-F238E27FC236}">
              <a16:creationId xmlns:a16="http://schemas.microsoft.com/office/drawing/2014/main" id="{71564CD6-E14C-93B8-C984-5BFF4A2BF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88542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178</xdr:row>
      <xdr:rowOff>203480</xdr:rowOff>
    </xdr:from>
    <xdr:to>
      <xdr:col>15</xdr:col>
      <xdr:colOff>304799</xdr:colOff>
      <xdr:row>178</xdr:row>
      <xdr:rowOff>203480</xdr:rowOff>
    </xdr:to>
    <xdr:pic>
      <xdr:nvPicPr>
        <xdr:cNvPr id="4100" name="Image 4099" descr="page4image6463360">
          <a:extLst>
            <a:ext uri="{FF2B5EF4-FFF2-40B4-BE49-F238E27FC236}">
              <a16:creationId xmlns:a16="http://schemas.microsoft.com/office/drawing/2014/main" id="{7DEACCDA-EF1E-3B46-9B99-53FCCACE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562" y="36484715"/>
          <a:ext cx="6381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203480</xdr:rowOff>
    </xdr:from>
    <xdr:to>
      <xdr:col>7</xdr:col>
      <xdr:colOff>367618</xdr:colOff>
      <xdr:row>182</xdr:row>
      <xdr:rowOff>203480</xdr:rowOff>
    </xdr:to>
    <xdr:pic>
      <xdr:nvPicPr>
        <xdr:cNvPr id="4102" name="Image 4101" descr="page4image6463744">
          <a:extLst>
            <a:ext uri="{FF2B5EF4-FFF2-40B4-BE49-F238E27FC236}">
              <a16:creationId xmlns:a16="http://schemas.microsoft.com/office/drawing/2014/main" id="{136A8CD2-2A36-357A-F597-373ECA513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00023"/>
          <a:ext cx="637268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182</xdr:row>
      <xdr:rowOff>203480</xdr:rowOff>
    </xdr:from>
    <xdr:to>
      <xdr:col>15</xdr:col>
      <xdr:colOff>304799</xdr:colOff>
      <xdr:row>182</xdr:row>
      <xdr:rowOff>203480</xdr:rowOff>
    </xdr:to>
    <xdr:pic>
      <xdr:nvPicPr>
        <xdr:cNvPr id="4104" name="Image 4103" descr="page4image6463936">
          <a:extLst>
            <a:ext uri="{FF2B5EF4-FFF2-40B4-BE49-F238E27FC236}">
              <a16:creationId xmlns:a16="http://schemas.microsoft.com/office/drawing/2014/main" id="{A8DA4E87-4216-EA5B-4C6F-B0233286C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562" y="37300023"/>
          <a:ext cx="6381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63500</xdr:colOff>
      <xdr:row>182</xdr:row>
      <xdr:rowOff>203480</xdr:rowOff>
    </xdr:from>
    <xdr:to>
      <xdr:col>30</xdr:col>
      <xdr:colOff>622300</xdr:colOff>
      <xdr:row>182</xdr:row>
      <xdr:rowOff>203480</xdr:rowOff>
    </xdr:to>
    <xdr:pic>
      <xdr:nvPicPr>
        <xdr:cNvPr id="4106" name="Image 4105" descr="page4image6464320">
          <a:extLst>
            <a:ext uri="{FF2B5EF4-FFF2-40B4-BE49-F238E27FC236}">
              <a16:creationId xmlns:a16="http://schemas.microsoft.com/office/drawing/2014/main" id="{8B554D4C-9C55-1DF9-4961-B80D1823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4364" y="37300023"/>
          <a:ext cx="6375714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635000</xdr:colOff>
      <xdr:row>182</xdr:row>
      <xdr:rowOff>203480</xdr:rowOff>
    </xdr:from>
    <xdr:to>
      <xdr:col>38</xdr:col>
      <xdr:colOff>368300</xdr:colOff>
      <xdr:row>182</xdr:row>
      <xdr:rowOff>203480</xdr:rowOff>
    </xdr:to>
    <xdr:pic>
      <xdr:nvPicPr>
        <xdr:cNvPr id="4108" name="Image 4107" descr="page4image6464512">
          <a:extLst>
            <a:ext uri="{FF2B5EF4-FFF2-40B4-BE49-F238E27FC236}">
              <a16:creationId xmlns:a16="http://schemas.microsoft.com/office/drawing/2014/main" id="{71C173AF-A240-FC82-C096-5DDFB858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2778" y="37300023"/>
          <a:ext cx="6381201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381000</xdr:colOff>
      <xdr:row>182</xdr:row>
      <xdr:rowOff>203480</xdr:rowOff>
    </xdr:from>
    <xdr:to>
      <xdr:col>46</xdr:col>
      <xdr:colOff>114301</xdr:colOff>
      <xdr:row>184</xdr:row>
      <xdr:rowOff>50799</xdr:rowOff>
    </xdr:to>
    <xdr:pic>
      <xdr:nvPicPr>
        <xdr:cNvPr id="4109" name="Image 4108" descr="page4image6464704">
          <a:extLst>
            <a:ext uri="{FF2B5EF4-FFF2-40B4-BE49-F238E27FC236}">
              <a16:creationId xmlns:a16="http://schemas.microsoft.com/office/drawing/2014/main" id="{6065E7AD-018B-39E5-10EF-427BD2AD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679" y="37300023"/>
          <a:ext cx="6381202" cy="254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showZeros="0" tabSelected="1" zoomScaleNormal="100" workbookViewId="0">
      <pane ySplit="11" topLeftCell="A12" activePane="bottomLeft" state="frozen"/>
      <selection pane="bottomLeft" activeCell="E6" sqref="E6:E7"/>
    </sheetView>
  </sheetViews>
  <sheetFormatPr defaultColWidth="10.875" defaultRowHeight="15.75"/>
  <cols>
    <col min="1" max="1" width="10.5" style="2" customWidth="1"/>
    <col min="2" max="2" width="40.625" style="19" customWidth="1"/>
    <col min="3" max="3" width="6" style="13" customWidth="1"/>
    <col min="4" max="4" width="7.5" style="14" customWidth="1"/>
    <col min="5" max="5" width="16.875" style="13" customWidth="1"/>
    <col min="6" max="6" width="12.375" style="13" customWidth="1"/>
    <col min="7" max="7" width="10.875" style="13" customWidth="1"/>
    <col min="8" max="8" width="10.875" style="2"/>
    <col min="9" max="16384" width="10.875" style="3"/>
  </cols>
  <sheetData>
    <row r="1" spans="1:15" ht="45.75" customHeight="1">
      <c r="A1" s="11"/>
      <c r="B1" s="76" t="s">
        <v>136</v>
      </c>
      <c r="C1" s="11"/>
      <c r="D1" s="12"/>
      <c r="E1" s="21"/>
      <c r="F1" s="74"/>
      <c r="H1" s="3"/>
    </row>
    <row r="2" spans="1:15" s="9" customFormat="1" ht="12.75">
      <c r="A2" s="23" t="s">
        <v>59</v>
      </c>
      <c r="B2" s="58"/>
      <c r="C2" s="40"/>
      <c r="D2" s="42"/>
      <c r="E2" s="64" t="s">
        <v>66</v>
      </c>
      <c r="F2" s="62">
        <v>45770</v>
      </c>
    </row>
    <row r="3" spans="1:15" s="9" customFormat="1" ht="12.75">
      <c r="A3" s="57" t="s">
        <v>137</v>
      </c>
      <c r="B3" s="58"/>
      <c r="C3" s="40"/>
      <c r="D3" s="42"/>
      <c r="E3" s="64" t="s">
        <v>68</v>
      </c>
      <c r="F3" s="63" t="s">
        <v>67</v>
      </c>
      <c r="J3" s="45"/>
      <c r="K3" s="28"/>
      <c r="L3" s="29"/>
      <c r="M3" s="30"/>
      <c r="N3" s="30"/>
      <c r="O3" s="30"/>
    </row>
    <row r="4" spans="1:15" s="9" customFormat="1" ht="12.75">
      <c r="A4" s="42"/>
      <c r="B4" s="58"/>
      <c r="C4" s="40"/>
      <c r="D4" s="59"/>
      <c r="E4" s="59"/>
      <c r="F4" s="42"/>
    </row>
    <row r="5" spans="1:15" s="9" customFormat="1" ht="12.75">
      <c r="A5" s="23" t="s">
        <v>7</v>
      </c>
      <c r="B5" s="58"/>
      <c r="C5" s="40"/>
      <c r="D5" s="60" t="s">
        <v>8</v>
      </c>
      <c r="E5" s="59"/>
      <c r="F5" s="42"/>
    </row>
    <row r="6" spans="1:15" s="9" customFormat="1" ht="12.75">
      <c r="A6" s="42" t="s">
        <v>4</v>
      </c>
      <c r="B6" s="58" t="s">
        <v>138</v>
      </c>
      <c r="C6" s="40"/>
      <c r="D6" s="42" t="s">
        <v>4</v>
      </c>
      <c r="E6" s="58" t="s">
        <v>138</v>
      </c>
      <c r="F6" s="42"/>
    </row>
    <row r="7" spans="1:15" s="9" customFormat="1" ht="25.5">
      <c r="A7" s="42" t="s">
        <v>5</v>
      </c>
      <c r="B7" s="58" t="s">
        <v>139</v>
      </c>
      <c r="C7" s="40"/>
      <c r="D7" s="61" t="s">
        <v>5</v>
      </c>
      <c r="E7" s="58" t="s">
        <v>139</v>
      </c>
      <c r="F7" s="77"/>
    </row>
    <row r="8" spans="1:15" s="9" customFormat="1" ht="12.75">
      <c r="A8" s="42" t="s">
        <v>6</v>
      </c>
      <c r="B8" s="58" t="s">
        <v>135</v>
      </c>
      <c r="C8" s="40"/>
      <c r="D8" s="61" t="s">
        <v>120</v>
      </c>
      <c r="E8" s="59" t="s">
        <v>135</v>
      </c>
      <c r="F8" s="42"/>
    </row>
    <row r="9" spans="1:15" s="9" customFormat="1" ht="12.75">
      <c r="A9" s="42"/>
      <c r="B9" s="58"/>
      <c r="C9" s="40"/>
      <c r="D9" s="59"/>
      <c r="E9" s="59"/>
      <c r="F9" s="42"/>
    </row>
    <row r="10" spans="1:15" s="9" customFormat="1" ht="16.5" customHeight="1">
      <c r="A10" s="88" t="s">
        <v>121</v>
      </c>
      <c r="B10" s="88"/>
      <c r="C10" s="88"/>
      <c r="D10" s="88"/>
      <c r="E10" s="88"/>
      <c r="F10" s="88"/>
    </row>
    <row r="11" spans="1:15" s="7" customFormat="1" ht="32.1" customHeight="1">
      <c r="A11" s="4" t="s">
        <v>25</v>
      </c>
      <c r="B11" s="18" t="s">
        <v>0</v>
      </c>
      <c r="C11" s="5" t="s">
        <v>42</v>
      </c>
      <c r="D11" s="5" t="s">
        <v>2</v>
      </c>
      <c r="E11" s="4" t="s">
        <v>1</v>
      </c>
      <c r="F11" s="5" t="s">
        <v>3</v>
      </c>
      <c r="G11" s="6"/>
    </row>
    <row r="12" spans="1:15" ht="25.5">
      <c r="A12" s="44" t="s">
        <v>23</v>
      </c>
      <c r="B12" s="79" t="s">
        <v>127</v>
      </c>
      <c r="C12" s="80">
        <v>33</v>
      </c>
      <c r="D12" s="80" t="s">
        <v>126</v>
      </c>
      <c r="E12" s="80">
        <v>50</v>
      </c>
      <c r="F12" s="81">
        <v>1650</v>
      </c>
      <c r="G12" s="2"/>
      <c r="H12" s="27"/>
    </row>
    <row r="13" spans="1:15" ht="25.5">
      <c r="A13" s="44"/>
      <c r="B13" s="82" t="s">
        <v>101</v>
      </c>
      <c r="C13" s="29">
        <v>33</v>
      </c>
      <c r="D13" s="29" t="s">
        <v>126</v>
      </c>
      <c r="E13" s="29">
        <v>25</v>
      </c>
      <c r="F13" s="83">
        <v>825</v>
      </c>
      <c r="G13" s="2"/>
      <c r="H13" s="27"/>
    </row>
    <row r="14" spans="1:15">
      <c r="A14" s="44" t="s">
        <v>17</v>
      </c>
      <c r="B14" s="79" t="s">
        <v>128</v>
      </c>
      <c r="C14" s="80">
        <v>9.8800000000000008</v>
      </c>
      <c r="D14" s="80" t="s">
        <v>126</v>
      </c>
      <c r="E14" s="80">
        <v>49.83</v>
      </c>
      <c r="F14" s="81">
        <v>498</v>
      </c>
      <c r="G14" s="2"/>
      <c r="H14" s="27"/>
    </row>
    <row r="15" spans="1:15" ht="38.25">
      <c r="A15" s="44"/>
      <c r="B15" s="82" t="s">
        <v>129</v>
      </c>
      <c r="C15" s="29">
        <v>9.8800000000000008</v>
      </c>
      <c r="D15" s="29" t="s">
        <v>126</v>
      </c>
      <c r="E15" s="29">
        <v>40</v>
      </c>
      <c r="F15" s="83">
        <v>395</v>
      </c>
      <c r="G15" s="2"/>
      <c r="H15" s="27"/>
    </row>
    <row r="16" spans="1:15" ht="38.25">
      <c r="A16" s="44"/>
      <c r="B16" s="82" t="s">
        <v>130</v>
      </c>
      <c r="C16" s="29">
        <v>11.34</v>
      </c>
      <c r="D16" s="29" t="s">
        <v>126</v>
      </c>
      <c r="E16" s="29">
        <v>40</v>
      </c>
      <c r="F16" s="83">
        <v>453.6</v>
      </c>
      <c r="G16" s="2"/>
      <c r="H16" s="27"/>
    </row>
    <row r="17" spans="1:8" ht="25.5">
      <c r="A17" s="44"/>
      <c r="B17" s="82" t="s">
        <v>102</v>
      </c>
      <c r="C17" s="29">
        <v>21.22</v>
      </c>
      <c r="D17" s="29" t="s">
        <v>126</v>
      </c>
      <c r="E17" s="29">
        <v>20</v>
      </c>
      <c r="F17" s="83">
        <v>424.4</v>
      </c>
      <c r="G17" s="2"/>
      <c r="H17" s="27"/>
    </row>
    <row r="18" spans="1:8">
      <c r="A18" s="44"/>
      <c r="B18" s="84" t="s">
        <v>84</v>
      </c>
      <c r="C18" s="85">
        <v>7.86</v>
      </c>
      <c r="D18" s="85" t="s">
        <v>9</v>
      </c>
      <c r="E18" s="85">
        <v>6</v>
      </c>
      <c r="F18" s="86">
        <v>41.16</v>
      </c>
      <c r="G18" s="2"/>
      <c r="H18" s="27"/>
    </row>
    <row r="19" spans="1:8">
      <c r="A19" s="44" t="s">
        <v>19</v>
      </c>
      <c r="B19" s="79" t="s">
        <v>128</v>
      </c>
      <c r="C19" s="80">
        <v>10.5</v>
      </c>
      <c r="D19" s="80" t="s">
        <v>126</v>
      </c>
      <c r="E19" s="80">
        <v>49.83</v>
      </c>
      <c r="F19" s="81">
        <v>500</v>
      </c>
      <c r="G19" s="2"/>
      <c r="H19" s="27"/>
    </row>
    <row r="20" spans="1:8" ht="38.25">
      <c r="A20" s="44"/>
      <c r="B20" s="87" t="s">
        <v>130</v>
      </c>
      <c r="C20" s="29">
        <v>10.5</v>
      </c>
      <c r="D20" s="29" t="s">
        <v>126</v>
      </c>
      <c r="E20" s="29">
        <v>40</v>
      </c>
      <c r="F20" s="83">
        <v>420</v>
      </c>
      <c r="G20" s="2"/>
      <c r="H20" s="27"/>
    </row>
    <row r="21" spans="1:8" ht="25.5">
      <c r="A21" s="44"/>
      <c r="B21" s="87" t="s">
        <v>102</v>
      </c>
      <c r="C21" s="29">
        <v>10.5</v>
      </c>
      <c r="D21" s="29" t="s">
        <v>126</v>
      </c>
      <c r="E21" s="29">
        <v>20</v>
      </c>
      <c r="F21" s="83">
        <v>210</v>
      </c>
      <c r="G21" s="2"/>
      <c r="H21" s="27"/>
    </row>
    <row r="22" spans="1:8">
      <c r="A22" s="44"/>
      <c r="B22" s="87" t="s">
        <v>84</v>
      </c>
      <c r="C22" s="29">
        <v>3.9</v>
      </c>
      <c r="D22" s="29" t="s">
        <v>9</v>
      </c>
      <c r="E22" s="29">
        <v>6</v>
      </c>
      <c r="F22" s="83">
        <v>23.4</v>
      </c>
      <c r="G22" s="2"/>
      <c r="H22" s="27"/>
    </row>
    <row r="23" spans="1:8">
      <c r="A23" s="47"/>
      <c r="B23" s="48"/>
      <c r="C23" s="49"/>
      <c r="D23" s="50"/>
      <c r="E23" s="51" t="s">
        <v>3</v>
      </c>
      <c r="F23" s="53">
        <f>SUM(F12:F22)</f>
        <v>5440.5599999999995</v>
      </c>
    </row>
    <row r="24" spans="1:8">
      <c r="A24" s="3"/>
      <c r="B24" s="24"/>
      <c r="C24" s="8" t="s">
        <v>39</v>
      </c>
      <c r="D24" s="25"/>
      <c r="E24" s="32" t="s">
        <v>37</v>
      </c>
      <c r="F24" s="54">
        <f>0%*F23</f>
        <v>0</v>
      </c>
    </row>
    <row r="25" spans="1:8">
      <c r="A25" s="3"/>
      <c r="B25" s="3"/>
      <c r="C25" s="19"/>
      <c r="D25" s="10"/>
      <c r="E25" s="31" t="s">
        <v>40</v>
      </c>
      <c r="F25" s="55">
        <f>F23+F24</f>
        <v>5440.5599999999995</v>
      </c>
    </row>
    <row r="26" spans="1:8">
      <c r="A26" s="3"/>
      <c r="B26" s="3"/>
      <c r="C26" s="19"/>
      <c r="D26" s="10"/>
      <c r="E26" s="31" t="s">
        <v>38</v>
      </c>
      <c r="F26" s="55"/>
    </row>
    <row r="27" spans="1:8">
      <c r="A27" s="33"/>
      <c r="B27" s="20"/>
      <c r="C27" s="11"/>
      <c r="D27" s="12"/>
      <c r="E27" s="65" t="s">
        <v>69</v>
      </c>
      <c r="F27" s="66"/>
    </row>
    <row r="28" spans="1:8">
      <c r="A28" s="34" t="s">
        <v>27</v>
      </c>
      <c r="B28" s="36"/>
      <c r="C28" s="38"/>
      <c r="D28" s="37"/>
      <c r="E28" s="37"/>
      <c r="F28" s="56"/>
    </row>
    <row r="29" spans="1:8">
      <c r="A29" s="35" t="s">
        <v>61</v>
      </c>
      <c r="B29" s="36"/>
      <c r="C29" s="38"/>
      <c r="D29" s="37"/>
      <c r="E29" s="37"/>
      <c r="F29" s="56"/>
    </row>
    <row r="30" spans="1:8">
      <c r="A30" s="35" t="s">
        <v>60</v>
      </c>
      <c r="B30" s="36"/>
      <c r="C30" s="38"/>
      <c r="D30" s="37"/>
      <c r="E30" s="37"/>
      <c r="F30" s="56"/>
    </row>
    <row r="31" spans="1:8">
      <c r="A31" s="35" t="s">
        <v>62</v>
      </c>
      <c r="B31" s="36"/>
      <c r="C31" s="38"/>
      <c r="D31" s="37"/>
      <c r="E31" s="37"/>
      <c r="F31" s="56"/>
    </row>
    <row r="32" spans="1:8">
      <c r="A32" s="35" t="s">
        <v>63</v>
      </c>
      <c r="B32" s="36"/>
      <c r="C32" s="38"/>
      <c r="D32" s="37"/>
      <c r="E32" s="37"/>
      <c r="F32" s="56"/>
    </row>
    <row r="33" spans="1:6">
      <c r="A33" s="35" t="s">
        <v>26</v>
      </c>
      <c r="B33" s="36"/>
      <c r="C33" s="38"/>
      <c r="D33" s="37"/>
      <c r="E33" s="37"/>
      <c r="F33" s="56"/>
    </row>
    <row r="34" spans="1:6">
      <c r="A34" s="34" t="s">
        <v>64</v>
      </c>
      <c r="B34" s="36"/>
      <c r="C34" s="38"/>
      <c r="D34" s="37"/>
      <c r="E34" s="37"/>
      <c r="F34" s="56"/>
    </row>
    <row r="35" spans="1:6">
      <c r="A35" s="35" t="s">
        <v>112</v>
      </c>
      <c r="B35" s="36"/>
      <c r="C35" s="38"/>
      <c r="D35" s="37"/>
      <c r="E35" s="37"/>
      <c r="F35" s="56"/>
    </row>
    <row r="36" spans="1:6">
      <c r="A36" s="35" t="s">
        <v>110</v>
      </c>
      <c r="B36" s="36"/>
      <c r="C36" s="38"/>
      <c r="D36" s="37"/>
      <c r="E36" s="37"/>
      <c r="F36" s="56"/>
    </row>
    <row r="37" spans="1:6">
      <c r="A37" s="23" t="s">
        <v>111</v>
      </c>
      <c r="B37" s="39"/>
      <c r="C37" s="41"/>
      <c r="D37" s="40"/>
      <c r="E37" s="40"/>
      <c r="F37" s="52"/>
    </row>
    <row r="38" spans="1:6">
      <c r="A38" s="22" t="s">
        <v>109</v>
      </c>
      <c r="B38" s="39"/>
      <c r="C38" s="41"/>
      <c r="D38" s="40"/>
      <c r="E38" s="40"/>
      <c r="F38" s="52"/>
    </row>
    <row r="39" spans="1:6">
      <c r="A39" s="22" t="s">
        <v>65</v>
      </c>
      <c r="B39" s="39"/>
      <c r="C39" s="41"/>
      <c r="D39" s="40"/>
      <c r="E39" s="40"/>
      <c r="F39" s="52"/>
    </row>
    <row r="40" spans="1:6">
      <c r="A40" s="42"/>
      <c r="B40" s="39"/>
      <c r="C40" s="41"/>
      <c r="D40" s="40"/>
      <c r="E40" s="40"/>
      <c r="F40" s="52"/>
    </row>
    <row r="41" spans="1:6">
      <c r="A41" s="43" t="s">
        <v>41</v>
      </c>
      <c r="B41" s="39"/>
      <c r="C41" s="41"/>
      <c r="D41" s="40"/>
      <c r="E41" s="40"/>
      <c r="F41" s="52"/>
    </row>
    <row r="42" spans="1:6">
      <c r="F42" s="46"/>
    </row>
  </sheetData>
  <mergeCells count="1">
    <mergeCell ref="A10:F10"/>
  </mergeCells>
  <pageMargins left="0.25" right="0.25" top="0.75" bottom="0.75" header="0.3" footer="0.3"/>
  <pageSetup paperSize="9" scale="90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a,b,c" xr:uid="{00000000-0002-0000-0000-000000000000}">
          <x14:formula1>
            <xm:f>Unités!$A$1:$A$3</xm:f>
          </x14:formula1>
          <xm:sqref>D23:D26 C27:C41</xm:sqref>
        </x14:dataValidation>
        <x14:dataValidation type="list" allowBlank="1" showInputMessage="1" showErrorMessage="1" xr:uid="{00000000-0002-0000-0000-000001000000}">
          <x14:formula1>
            <xm:f>pièces!$A$1:$A$32</xm:f>
          </x14:formula1>
          <xm:sqref>J3 A12:A22</xm:sqref>
        </x14:dataValidation>
        <x14:dataValidation type="list" allowBlank="1" showInputMessage="1" showErrorMessage="1" xr:uid="{00000000-0002-0000-0000-000002000000}">
          <x14:formula1>
            <xm:f>pièces!$A$1:$A$25</xm:f>
          </x14:formula1>
          <xm:sqref>B23:B24</xm:sqref>
        </x14:dataValidation>
        <x14:dataValidation type="list" allowBlank="1" showInputMessage="1" showErrorMessage="1" xr:uid="{00000000-0002-0000-0000-000003000000}">
          <x14:formula1>
            <xm:f>Description!$A$1:$A$41</xm:f>
          </x14:formula1>
          <xm:sqref>C23</xm:sqref>
        </x14:dataValidation>
        <x14:dataValidation type="list" allowBlank="1" showInputMessage="1" showErrorMessage="1" xr:uid="{00000000-0002-0000-0000-000004000000}">
          <x14:formula1>
            <xm:f>Description!$A$1:$A$59</xm:f>
          </x14:formula1>
          <xm:sqref>K3</xm:sqref>
        </x14:dataValidation>
        <x14:dataValidation type="list" allowBlank="1" showInputMessage="1" showErrorMessage="1" xr:uid="{00000000-0002-0000-0000-000005000000}">
          <x14:formula1>
            <xm:f>Description!$A$1:$A$65</xm:f>
          </x14:formula1>
          <xm:sqref>B12:B22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zoomScale="81" zoomScaleNormal="81" workbookViewId="0">
      <selection activeCell="A30" sqref="A30"/>
    </sheetView>
  </sheetViews>
  <sheetFormatPr defaultColWidth="11" defaultRowHeight="15.75"/>
  <cols>
    <col min="1" max="1" width="13.375" style="17" customWidth="1"/>
    <col min="2" max="12" width="10.875" style="15"/>
  </cols>
  <sheetData>
    <row r="1" spans="1:12">
      <c r="A1" s="16" t="s">
        <v>17</v>
      </c>
    </row>
    <row r="2" spans="1:12">
      <c r="A2" s="16" t="s">
        <v>19</v>
      </c>
    </row>
    <row r="3" spans="1:12">
      <c r="A3" s="16" t="s">
        <v>21</v>
      </c>
    </row>
    <row r="4" spans="1:12">
      <c r="A4" s="16" t="s">
        <v>43</v>
      </c>
      <c r="B4"/>
      <c r="C4"/>
      <c r="D4"/>
      <c r="E4"/>
      <c r="F4"/>
      <c r="G4"/>
      <c r="H4"/>
      <c r="I4"/>
      <c r="J4"/>
      <c r="K4"/>
      <c r="L4"/>
    </row>
    <row r="5" spans="1:12">
      <c r="A5" s="16" t="s">
        <v>44</v>
      </c>
      <c r="B5"/>
      <c r="C5"/>
      <c r="D5"/>
      <c r="E5"/>
      <c r="F5"/>
      <c r="G5"/>
      <c r="H5"/>
      <c r="I5"/>
      <c r="J5"/>
      <c r="K5"/>
      <c r="L5"/>
    </row>
    <row r="6" spans="1:12">
      <c r="A6" s="16" t="s">
        <v>45</v>
      </c>
    </row>
    <row r="7" spans="1:12">
      <c r="A7" s="16" t="s">
        <v>46</v>
      </c>
    </row>
    <row r="8" spans="1:12">
      <c r="A8" s="16" t="s">
        <v>47</v>
      </c>
    </row>
    <row r="9" spans="1:12">
      <c r="A9" s="16" t="s">
        <v>48</v>
      </c>
    </row>
    <row r="10" spans="1:12">
      <c r="A10" s="16" t="s">
        <v>49</v>
      </c>
    </row>
    <row r="11" spans="1:12">
      <c r="A11" s="16" t="s">
        <v>50</v>
      </c>
    </row>
    <row r="12" spans="1:12">
      <c r="A12" s="16" t="s">
        <v>51</v>
      </c>
    </row>
    <row r="13" spans="1:12">
      <c r="A13" s="16" t="s">
        <v>52</v>
      </c>
    </row>
    <row r="14" spans="1:12">
      <c r="A14" s="16" t="s">
        <v>53</v>
      </c>
    </row>
    <row r="15" spans="1:12">
      <c r="A15" s="16" t="s">
        <v>14</v>
      </c>
    </row>
    <row r="16" spans="1:12">
      <c r="A16" s="16" t="s">
        <v>32</v>
      </c>
    </row>
    <row r="17" spans="1:1">
      <c r="A17" s="16" t="s">
        <v>12</v>
      </c>
    </row>
    <row r="18" spans="1:1">
      <c r="A18" s="16" t="s">
        <v>33</v>
      </c>
    </row>
    <row r="19" spans="1:1">
      <c r="A19" s="16" t="s">
        <v>54</v>
      </c>
    </row>
    <row r="20" spans="1:1">
      <c r="A20" s="16" t="s">
        <v>55</v>
      </c>
    </row>
    <row r="21" spans="1:1">
      <c r="A21" s="16" t="s">
        <v>56</v>
      </c>
    </row>
    <row r="22" spans="1:1">
      <c r="A22" s="16" t="s">
        <v>57</v>
      </c>
    </row>
    <row r="23" spans="1:1">
      <c r="A23" s="16" t="s">
        <v>23</v>
      </c>
    </row>
    <row r="24" spans="1:1">
      <c r="A24" s="16" t="s">
        <v>30</v>
      </c>
    </row>
    <row r="25" spans="1:1">
      <c r="A25" s="16" t="s">
        <v>31</v>
      </c>
    </row>
    <row r="26" spans="1:1">
      <c r="A26" s="16" t="s">
        <v>22</v>
      </c>
    </row>
    <row r="27" spans="1:1">
      <c r="A27" s="16" t="s">
        <v>28</v>
      </c>
    </row>
    <row r="28" spans="1:1">
      <c r="A28" s="16" t="s">
        <v>35</v>
      </c>
    </row>
    <row r="29" spans="1:1">
      <c r="A29" s="16" t="s">
        <v>29</v>
      </c>
    </row>
    <row r="30" spans="1:1">
      <c r="A30" s="16" t="s">
        <v>34</v>
      </c>
    </row>
  </sheetData>
  <sortState ref="A1:A16">
    <sortCondition ref="A1:A16"/>
  </sortState>
  <phoneticPr fontId="1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ColWidth="11" defaultRowHeight="15.75"/>
  <sheetData>
    <row r="1" spans="1:1">
      <c r="A1" t="s">
        <v>10</v>
      </c>
    </row>
    <row r="2" spans="1:1">
      <c r="A2" t="s">
        <v>9</v>
      </c>
    </row>
    <row r="3" spans="1:1">
      <c r="A3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5"/>
  <sheetViews>
    <sheetView zoomScaleNormal="100" workbookViewId="0">
      <selection activeCell="A27" sqref="A27"/>
    </sheetView>
  </sheetViews>
  <sheetFormatPr defaultColWidth="11" defaultRowHeight="15.75"/>
  <cols>
    <col min="1" max="1" width="80.5" bestFit="1" customWidth="1"/>
    <col min="3" max="3" width="10.875" style="70"/>
  </cols>
  <sheetData>
    <row r="1" spans="1:3">
      <c r="A1" s="67" t="s">
        <v>80</v>
      </c>
      <c r="B1" s="1">
        <v>7</v>
      </c>
      <c r="C1" s="69" t="s">
        <v>10</v>
      </c>
    </row>
    <row r="2" spans="1:3">
      <c r="A2" s="67" t="s">
        <v>77</v>
      </c>
      <c r="B2" s="1">
        <v>19.5</v>
      </c>
      <c r="C2" s="69" t="s">
        <v>10</v>
      </c>
    </row>
    <row r="3" spans="1:3">
      <c r="A3" s="67" t="s">
        <v>119</v>
      </c>
      <c r="B3" s="1"/>
      <c r="C3" s="69"/>
    </row>
    <row r="4" spans="1:3">
      <c r="A4" s="67" t="s">
        <v>75</v>
      </c>
      <c r="B4" s="1">
        <v>49.5</v>
      </c>
      <c r="C4" s="69" t="s">
        <v>10</v>
      </c>
    </row>
    <row r="5" spans="1:3">
      <c r="A5" s="67" t="s">
        <v>86</v>
      </c>
      <c r="B5" s="1">
        <v>35</v>
      </c>
      <c r="C5" s="69" t="s">
        <v>10</v>
      </c>
    </row>
    <row r="6" spans="1:3">
      <c r="A6" s="67" t="s">
        <v>92</v>
      </c>
      <c r="B6" s="1">
        <v>30</v>
      </c>
      <c r="C6" s="69" t="s">
        <v>10</v>
      </c>
    </row>
    <row r="7" spans="1:3">
      <c r="A7" s="67" t="s">
        <v>132</v>
      </c>
      <c r="B7" s="1"/>
      <c r="C7" s="69"/>
    </row>
    <row r="8" spans="1:3">
      <c r="A8" s="68" t="s">
        <v>85</v>
      </c>
      <c r="B8" s="1">
        <v>15</v>
      </c>
      <c r="C8" s="69" t="s">
        <v>10</v>
      </c>
    </row>
    <row r="9" spans="1:3">
      <c r="A9" s="67" t="s">
        <v>87</v>
      </c>
      <c r="B9" s="1">
        <v>18</v>
      </c>
      <c r="C9" s="69" t="s">
        <v>10</v>
      </c>
    </row>
    <row r="10" spans="1:3">
      <c r="A10" s="67" t="s">
        <v>131</v>
      </c>
      <c r="B10" s="1">
        <v>45</v>
      </c>
      <c r="C10" s="69" t="s">
        <v>10</v>
      </c>
    </row>
    <row r="11" spans="1:3">
      <c r="A11" s="67" t="s">
        <v>133</v>
      </c>
      <c r="B11" s="1">
        <v>45</v>
      </c>
      <c r="C11" s="69" t="s">
        <v>10</v>
      </c>
    </row>
    <row r="12" spans="1:3">
      <c r="A12" s="67" t="s">
        <v>134</v>
      </c>
      <c r="B12" s="1"/>
      <c r="C12" s="69"/>
    </row>
    <row r="13" spans="1:3">
      <c r="A13" s="67" t="s">
        <v>122</v>
      </c>
      <c r="B13" s="1"/>
      <c r="C13" s="69"/>
    </row>
    <row r="14" spans="1:3">
      <c r="A14" s="67" t="s">
        <v>70</v>
      </c>
      <c r="B14" s="1">
        <v>25.5</v>
      </c>
      <c r="C14" s="69" t="s">
        <v>10</v>
      </c>
    </row>
    <row r="15" spans="1:3">
      <c r="A15" s="67" t="s">
        <v>71</v>
      </c>
      <c r="B15" s="1">
        <v>28</v>
      </c>
      <c r="C15" s="69" t="s">
        <v>10</v>
      </c>
    </row>
    <row r="16" spans="1:3">
      <c r="A16" s="67" t="s">
        <v>72</v>
      </c>
      <c r="B16" s="1">
        <v>28</v>
      </c>
      <c r="C16" s="69" t="s">
        <v>10</v>
      </c>
    </row>
    <row r="17" spans="1:3">
      <c r="A17" s="67" t="s">
        <v>88</v>
      </c>
      <c r="B17" s="1">
        <v>28</v>
      </c>
      <c r="C17" s="69" t="s">
        <v>10</v>
      </c>
    </row>
    <row r="18" spans="1:3">
      <c r="A18" s="67" t="s">
        <v>97</v>
      </c>
      <c r="B18" s="1">
        <v>25</v>
      </c>
      <c r="C18" s="69" t="s">
        <v>10</v>
      </c>
    </row>
    <row r="19" spans="1:3">
      <c r="A19" s="67" t="s">
        <v>130</v>
      </c>
      <c r="B19" s="1"/>
      <c r="C19" s="69"/>
    </row>
    <row r="20" spans="1:3">
      <c r="A20" s="67" t="s">
        <v>129</v>
      </c>
      <c r="B20" s="1"/>
      <c r="C20" s="69"/>
    </row>
    <row r="21" spans="1:3">
      <c r="A21" s="67" t="s">
        <v>76</v>
      </c>
      <c r="B21" s="1">
        <v>49.5</v>
      </c>
      <c r="C21" s="69" t="s">
        <v>10</v>
      </c>
    </row>
    <row r="22" spans="1:3">
      <c r="A22" s="68" t="s">
        <v>73</v>
      </c>
      <c r="B22" s="1">
        <v>4.5</v>
      </c>
      <c r="C22" s="69" t="s">
        <v>10</v>
      </c>
    </row>
    <row r="23" spans="1:3">
      <c r="A23" s="67" t="s">
        <v>82</v>
      </c>
      <c r="B23" s="1">
        <v>74</v>
      </c>
      <c r="C23" s="69" t="s">
        <v>10</v>
      </c>
    </row>
    <row r="24" spans="1:3">
      <c r="A24" s="67" t="s">
        <v>123</v>
      </c>
      <c r="B24" s="1">
        <v>35</v>
      </c>
      <c r="C24" s="69" t="s">
        <v>10</v>
      </c>
    </row>
    <row r="25" spans="1:3">
      <c r="A25" s="67" t="s">
        <v>100</v>
      </c>
      <c r="B25" s="1">
        <v>8</v>
      </c>
      <c r="C25" s="69" t="s">
        <v>9</v>
      </c>
    </row>
    <row r="26" spans="1:3">
      <c r="A26" s="67" t="s">
        <v>125</v>
      </c>
      <c r="B26" s="1"/>
      <c r="C26" s="69"/>
    </row>
    <row r="27" spans="1:3">
      <c r="A27" s="67" t="s">
        <v>79</v>
      </c>
      <c r="B27" s="1">
        <v>77</v>
      </c>
      <c r="C27" s="69" t="s">
        <v>10</v>
      </c>
    </row>
    <row r="28" spans="1:3">
      <c r="A28" s="67" t="s">
        <v>74</v>
      </c>
      <c r="B28" s="1">
        <v>5</v>
      </c>
      <c r="C28" s="69" t="s">
        <v>9</v>
      </c>
    </row>
    <row r="29" spans="1:3">
      <c r="A29" s="75" t="s">
        <v>104</v>
      </c>
      <c r="B29" s="1">
        <v>15</v>
      </c>
      <c r="C29" s="69" t="s">
        <v>9</v>
      </c>
    </row>
    <row r="30" spans="1:3">
      <c r="A30" s="75" t="s">
        <v>105</v>
      </c>
      <c r="B30" s="1">
        <v>15</v>
      </c>
      <c r="C30" s="69" t="s">
        <v>10</v>
      </c>
    </row>
    <row r="31" spans="1:3">
      <c r="A31" s="67" t="s">
        <v>101</v>
      </c>
      <c r="B31" s="1">
        <v>37</v>
      </c>
      <c r="C31" s="69" t="s">
        <v>10</v>
      </c>
    </row>
    <row r="32" spans="1:3">
      <c r="A32" s="67" t="s">
        <v>102</v>
      </c>
      <c r="B32" s="1">
        <v>34</v>
      </c>
      <c r="C32" s="69" t="s">
        <v>10</v>
      </c>
    </row>
    <row r="33" spans="1:3">
      <c r="A33" s="67" t="s">
        <v>124</v>
      </c>
      <c r="B33" s="1"/>
      <c r="C33" s="69"/>
    </row>
    <row r="34" spans="1:3">
      <c r="A34" s="67" t="s">
        <v>81</v>
      </c>
      <c r="B34" s="1">
        <v>8</v>
      </c>
      <c r="C34" s="69" t="s">
        <v>10</v>
      </c>
    </row>
    <row r="35" spans="1:3">
      <c r="A35" s="67" t="s">
        <v>78</v>
      </c>
      <c r="B35" s="1">
        <v>15</v>
      </c>
      <c r="C35" s="69" t="s">
        <v>9</v>
      </c>
    </row>
    <row r="36" spans="1:3">
      <c r="A36" s="67" t="s">
        <v>84</v>
      </c>
      <c r="B36" s="1">
        <v>6</v>
      </c>
      <c r="C36" s="69" t="s">
        <v>9</v>
      </c>
    </row>
    <row r="37" spans="1:3">
      <c r="A37" s="67" t="s">
        <v>83</v>
      </c>
      <c r="B37" s="1">
        <v>21</v>
      </c>
      <c r="C37" s="69" t="s">
        <v>11</v>
      </c>
    </row>
    <row r="38" spans="1:3">
      <c r="A38" s="67" t="s">
        <v>89</v>
      </c>
      <c r="B38" s="1">
        <v>130</v>
      </c>
      <c r="C38" s="69" t="s">
        <v>11</v>
      </c>
    </row>
    <row r="39" spans="1:3">
      <c r="A39" s="67" t="s">
        <v>103</v>
      </c>
      <c r="B39" s="1">
        <v>150</v>
      </c>
      <c r="C39" s="69" t="s">
        <v>11</v>
      </c>
    </row>
    <row r="40" spans="1:3">
      <c r="A40" s="67" t="s">
        <v>90</v>
      </c>
      <c r="B40" s="1">
        <v>120</v>
      </c>
      <c r="C40" s="69" t="s">
        <v>11</v>
      </c>
    </row>
    <row r="41" spans="1:3">
      <c r="A41" s="67" t="s">
        <v>91</v>
      </c>
      <c r="B41" s="1">
        <v>60</v>
      </c>
      <c r="C41" s="69" t="s">
        <v>11</v>
      </c>
    </row>
    <row r="42" spans="1:3">
      <c r="A42" s="67" t="s">
        <v>113</v>
      </c>
      <c r="B42" s="1">
        <v>20</v>
      </c>
      <c r="C42" s="69" t="s">
        <v>10</v>
      </c>
    </row>
    <row r="43" spans="1:3">
      <c r="A43" s="16" t="s">
        <v>99</v>
      </c>
      <c r="B43" s="1">
        <v>20</v>
      </c>
      <c r="C43" s="69" t="s">
        <v>10</v>
      </c>
    </row>
    <row r="44" spans="1:3">
      <c r="A44" s="16" t="s">
        <v>128</v>
      </c>
      <c r="B44" s="1"/>
      <c r="C44" s="69"/>
    </row>
    <row r="45" spans="1:3">
      <c r="A45" s="16" t="s">
        <v>98</v>
      </c>
      <c r="B45" s="1">
        <v>10</v>
      </c>
      <c r="C45" s="69" t="s">
        <v>10</v>
      </c>
    </row>
    <row r="46" spans="1:3">
      <c r="A46" s="16" t="s">
        <v>93</v>
      </c>
      <c r="B46" s="1">
        <v>7</v>
      </c>
      <c r="C46" s="69" t="s">
        <v>10</v>
      </c>
    </row>
    <row r="47" spans="1:3">
      <c r="A47" s="16" t="s">
        <v>114</v>
      </c>
      <c r="B47" s="1">
        <v>300</v>
      </c>
      <c r="C47" s="69" t="s">
        <v>11</v>
      </c>
    </row>
    <row r="48" spans="1:3">
      <c r="A48" s="16" t="s">
        <v>94</v>
      </c>
      <c r="C48" s="69"/>
    </row>
    <row r="49" spans="1:4">
      <c r="A49" s="26" t="s">
        <v>58</v>
      </c>
      <c r="C49" s="69"/>
    </row>
    <row r="50" spans="1:4">
      <c r="A50" s="26" t="s">
        <v>36</v>
      </c>
      <c r="C50" s="69"/>
    </row>
    <row r="51" spans="1:4">
      <c r="A51" s="26" t="s">
        <v>117</v>
      </c>
      <c r="C51" s="69"/>
    </row>
    <row r="52" spans="1:4">
      <c r="A52" s="26" t="s">
        <v>118</v>
      </c>
      <c r="C52" s="69"/>
    </row>
    <row r="53" spans="1:4">
      <c r="A53" s="26" t="s">
        <v>115</v>
      </c>
      <c r="C53" s="69"/>
    </row>
    <row r="54" spans="1:4">
      <c r="A54" s="26" t="s">
        <v>116</v>
      </c>
      <c r="C54" s="69"/>
    </row>
    <row r="55" spans="1:4">
      <c r="A55" s="78" t="s">
        <v>16</v>
      </c>
      <c r="C55" s="69"/>
    </row>
    <row r="56" spans="1:4">
      <c r="A56" s="16" t="s">
        <v>15</v>
      </c>
      <c r="C56" s="69"/>
    </row>
    <row r="57" spans="1:4">
      <c r="A57" s="16" t="s">
        <v>18</v>
      </c>
      <c r="C57" s="69"/>
    </row>
    <row r="58" spans="1:4">
      <c r="A58" s="16" t="s">
        <v>13</v>
      </c>
      <c r="C58" s="69"/>
    </row>
    <row r="59" spans="1:4">
      <c r="A59" s="16" t="s">
        <v>20</v>
      </c>
      <c r="C59" s="69"/>
    </row>
    <row r="60" spans="1:4">
      <c r="A60" s="16" t="s">
        <v>24</v>
      </c>
      <c r="B60" s="1">
        <v>25</v>
      </c>
      <c r="C60" s="69" t="s">
        <v>11</v>
      </c>
    </row>
    <row r="61" spans="1:4">
      <c r="A61" s="16" t="s">
        <v>95</v>
      </c>
      <c r="B61" s="1">
        <v>30</v>
      </c>
      <c r="C61" s="70" t="s">
        <v>10</v>
      </c>
    </row>
    <row r="62" spans="1:4">
      <c r="A62" s="16" t="s">
        <v>96</v>
      </c>
      <c r="B62" s="1">
        <v>20</v>
      </c>
      <c r="C62" s="70" t="s">
        <v>107</v>
      </c>
    </row>
    <row r="63" spans="1:4">
      <c r="A63" s="16" t="s">
        <v>106</v>
      </c>
      <c r="B63" s="1">
        <v>30</v>
      </c>
      <c r="C63" s="70" t="s">
        <v>107</v>
      </c>
      <c r="D63" s="72"/>
    </row>
    <row r="64" spans="1:4">
      <c r="A64" s="71" t="s">
        <v>108</v>
      </c>
      <c r="C64" s="73"/>
    </row>
    <row r="65" spans="1:2">
      <c r="A65" s="16"/>
      <c r="B65" s="72"/>
    </row>
  </sheetData>
  <sortState ref="A2:C73">
    <sortCondition ref="C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Devis</vt:lpstr>
      <vt:lpstr>pièces</vt:lpstr>
      <vt:lpstr>Unités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Ménager</dc:creator>
  <cp:lastModifiedBy>Alena KADYCHEV</cp:lastModifiedBy>
  <cp:lastPrinted>2025-04-23T14:47:11Z</cp:lastPrinted>
  <dcterms:created xsi:type="dcterms:W3CDTF">2022-08-02T12:28:16Z</dcterms:created>
  <dcterms:modified xsi:type="dcterms:W3CDTF">2026-10-13T10:15:25Z</dcterms:modified>
</cp:coreProperties>
</file>